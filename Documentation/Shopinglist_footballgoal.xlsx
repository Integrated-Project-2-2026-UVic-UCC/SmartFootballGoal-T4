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f346a5d03b2093/Desktop/2n q/Integrated Project II/Documentation/"/>
    </mc:Choice>
  </mc:AlternateContent>
  <xr:revisionPtr revIDLastSave="204" documentId="11_910045A529593E837A5A190164E68548F18ABF25" xr6:coauthVersionLast="47" xr6:coauthVersionMax="47" xr10:uidLastSave="{1006C4F1-6184-4C92-A23A-2BCBD58E3587}"/>
  <bookViews>
    <workbookView xWindow="-108" yWindow="-108" windowWidth="23256" windowHeight="12456" tabRatio="500" firstSheet="1" activeTab="1" xr2:uid="{00000000-000D-0000-FFFF-FFFF00000000}"/>
  </bookViews>
  <sheets>
    <sheet name="Project Specifications" sheetId="1" r:id="rId1"/>
    <sheet name="Conceptual_Design" sheetId="2" r:id="rId2"/>
    <sheet name="Shopping list" sheetId="3" r:id="rId3"/>
    <sheet name="Recommended supplier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1" l="1"/>
  <c r="C30" i="1"/>
  <c r="G17" i="3"/>
  <c r="G19" i="3"/>
  <c r="G14" i="3"/>
  <c r="G12" i="3"/>
  <c r="G11" i="3"/>
  <c r="G13" i="3"/>
  <c r="G15" i="3"/>
  <c r="G16" i="3"/>
  <c r="G18" i="3"/>
  <c r="G10" i="3"/>
  <c r="G9" i="3"/>
  <c r="G28" i="3" l="1"/>
  <c r="G27" i="3"/>
  <c r="G26" i="3"/>
  <c r="G25" i="3"/>
  <c r="G24" i="3"/>
  <c r="G23" i="3"/>
  <c r="G22" i="3"/>
  <c r="G21" i="3"/>
  <c r="B10" i="3"/>
  <c r="B11" i="3" s="1"/>
  <c r="B13" i="1"/>
  <c r="B14" i="1" s="1"/>
  <c r="B12" i="3" l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G5" i="3"/>
  <c r="I5" i="3" s="1"/>
</calcChain>
</file>

<file path=xl/sharedStrings.xml><?xml version="1.0" encoding="utf-8"?>
<sst xmlns="http://schemas.openxmlformats.org/spreadsheetml/2006/main" count="109" uniqueCount="100">
  <si>
    <t>TECHNICAL SPECIFICATIONS</t>
  </si>
  <si>
    <t>Customer Company</t>
  </si>
  <si>
    <t>Universitat de Vic - Universitat Central de Catalunya</t>
  </si>
  <si>
    <t>Engineering Company</t>
  </si>
  <si>
    <t>Smart Football Goal</t>
  </si>
  <si>
    <t>Revision 1</t>
  </si>
  <si>
    <t>Date: 5/03/2026</t>
  </si>
  <si>
    <t>List the main characteristics of the desired device</t>
  </si>
  <si>
    <t>Item number</t>
  </si>
  <si>
    <t>Description</t>
  </si>
  <si>
    <t>Capable of registering the velocity and position of the ball</t>
  </si>
  <si>
    <t>Dureble enought to handle shoots in any direction</t>
  </si>
  <si>
    <t>Collects the information and sends it to a webpage</t>
  </si>
  <si>
    <t>Mechanical part</t>
  </si>
  <si>
    <t>Dimensions (volume)</t>
  </si>
  <si>
    <t>600 mm x 300 mm x 900 mm (height)</t>
  </si>
  <si>
    <t xml:space="preserve">Weight </t>
  </si>
  <si>
    <t>5,8 kg (aprox)</t>
  </si>
  <si>
    <t>Wheels</t>
  </si>
  <si>
    <t>no weels</t>
  </si>
  <si>
    <t>Materials for the mechanical part / structure</t>
  </si>
  <si>
    <t>3D printed parts and aluminium tube</t>
  </si>
  <si>
    <t>Motors</t>
  </si>
  <si>
    <t>no motor</t>
  </si>
  <si>
    <t>Degrees of freedom</t>
  </si>
  <si>
    <t>Manufacturing equipment</t>
  </si>
  <si>
    <t>3D Printer, industrial drills, cutting machines</t>
  </si>
  <si>
    <t>Assembly between parts</t>
  </si>
  <si>
    <t>Bolts and nuts, welding for electrical and electronics parts</t>
  </si>
  <si>
    <t>Electronic &amp; programming part</t>
  </si>
  <si>
    <t>Microcontroller</t>
  </si>
  <si>
    <t>Drivers</t>
  </si>
  <si>
    <t>Native driver (so no needed)</t>
  </si>
  <si>
    <t>Sensors</t>
  </si>
  <si>
    <t>Communication</t>
  </si>
  <si>
    <t>Via Wifi</t>
  </si>
  <si>
    <t>Programming</t>
  </si>
  <si>
    <t>Phython and OpenCv</t>
  </si>
  <si>
    <t>Power</t>
  </si>
  <si>
    <t>Connected to the socket</t>
  </si>
  <si>
    <t>Autonomy</t>
  </si>
  <si>
    <t>Indef</t>
  </si>
  <si>
    <t>Protoboard</t>
  </si>
  <si>
    <t>No</t>
  </si>
  <si>
    <t>CONCEPTUAL DESIGN</t>
  </si>
  <si>
    <t>Include an image (or more than one) with the current status of the conceptual design. Can be a sketches done with pencil</t>
  </si>
  <si>
    <t>PRELIMINAR ORDER LIST</t>
  </si>
  <si>
    <t>Team:</t>
  </si>
  <si>
    <t>smart football goal(team 4)</t>
  </si>
  <si>
    <t>Total cost [€]</t>
  </si>
  <si>
    <t>Budget limit [€]</t>
  </si>
  <si>
    <t>Description of the material</t>
  </si>
  <si>
    <t>Quantity</t>
  </si>
  <si>
    <t>Price [€]</t>
  </si>
  <si>
    <t>Cost [€]</t>
  </si>
  <si>
    <t>Provider</t>
  </si>
  <si>
    <t>Link / website</t>
  </si>
  <si>
    <t>goalpost tubes</t>
  </si>
  <si>
    <t>m</t>
  </si>
  <si>
    <t>https://www.alacermas.com/es/producto/tubos-cuadrados-extruidos-de-aluminio</t>
  </si>
  <si>
    <t>.</t>
  </si>
  <si>
    <t>ESP 32</t>
  </si>
  <si>
    <t>https://www.amazon.es/desarrollo-AYWHP-ESP-WROOM-32-Bluetooth-Compatible/dp/B0DG8JFY3C</t>
  </si>
  <si>
    <t>regulator  (5 a 3,3v)</t>
  </si>
  <si>
    <t>https://www.amazon.es/Convertidor-ajustable-reductor-regulador-voltaje/dp/B0D9HSRQSB/ref=sr_1_3?__mk_es_ES=%C3%85M%C3%85%C5%BD%C3%95%C3%91&amp;crid=2CQH0VJNUNTZ61</t>
  </si>
  <si>
    <t>Cargols M8 85mm</t>
  </si>
  <si>
    <t>en el paquet hi ha 30, pero nomes necessitarem aprox 20</t>
  </si>
  <si>
    <t>https://www.tornillos-express.es/carrito?action=show&amp;_gl=1*14pj92r*_up*MQ..*_gs*MQ..&amp;gclid=Cj0KCQiA8KTNBhD_ARIsAOvp6DJVuawOqniN5xiLs76IxakxXjzONClQnmKlblZWbY7fJQ6N4a5n9YwaAo0_EALw_wcB&amp;gbraid=0AAAAApCivz7CsMDQxMVZ67OvK1puAO-pL</t>
  </si>
  <si>
    <t>,</t>
  </si>
  <si>
    <t>femella M8 85mm</t>
  </si>
  <si>
    <t>https://www.tornillos-express.es/tornillo-metales-cabeza-hexagonal-th-109-iso-4017/43047-632626-tornillo-metales-cabeza-hexagonal-m8x80-clase-109-acero-cincado-blanco-3663072192089.html?utm_campaign=googleads&amp;utm_source=shopping&amp;utm_medium=espagne&amp;gad_source=1&amp;gad_campaignid=19022351003&amp;gbraid=0AAAAApCivz6dHd2o9ejHbDoXMnosNoKJ6&amp;gclid=CjwKCAiA-__MBhAKEiwASBmsBErxRNCimA-naKwgQeOiBRyDUxktBG1afckTqvigwF5F7Ry69lXykxoCKEgQAvD_BwE</t>
  </si>
  <si>
    <t>en el paquet hi ha 100, pero nomes necessitarem aprox 20</t>
  </si>
  <si>
    <t>Goal net</t>
  </si>
  <si>
    <t>https://www.amazon.es/dp/B0CJJCG4B2/ref=sspa_dk_detail_3?psc=1&amp;pd_rd_i=B0CJJCG4B2&amp;pd_rd_w=B46YE&amp;content-id=amzn1.sym.0c640cbd-b6e0-461d-8cfc-a8934b5122df&amp;pf_rd_p=0c640cbd-b6e0-461d-8cfc-a8934b5122df&amp;pf_rd_r=M1F5KSCC69AW78BZWX7E&amp;pd_rd_wg=Gb1er&amp;pd_rd_r=de0751c4-9497-4b47-bd2f-adb5a478cd4e&amp;aref=WCCGjsiMEK&amp;sp_csd=d2lkZ2V0TmFtZT1zcF9kZXRhaWw</t>
  </si>
  <si>
    <t>Arducam IMX296 Global Shutter Camera</t>
  </si>
  <si>
    <t>https://www.arducam.com/1-58mp-imx296-color-global-shutter-camera-module-with-m12-lens-for-raspberry-pi.html</t>
  </si>
  <si>
    <t xml:space="preserve">. </t>
  </si>
  <si>
    <t>price arducam</t>
  </si>
  <si>
    <t>Raspberry Pi 5 4GB</t>
  </si>
  <si>
    <t>https://www.amazon.es/Raspberry-Pi-SC1111-5-4Gb/dp/B0CK3L9WD3/ref=sr_1_1?__mk_es_ES=ÅMÅŽÕÑ&amp;crid=3M6YJNVVUGNAU&amp;dib=eyJ2IjoiMSJ9.oE_1jHVJG4PjSPF4ldhDSMTNUE8fRX3AzBjb2_pK6NoGkCAQGEu5tOKK96aYmg9ECEsZwkS4ALHif3FffsyjuILtTi6Y9K-eQnSvDsnBV0030c6KLTE0FkKFpmj6yfsiD0fyk-7luRByXUAGaHPD_DN7NYacGv6dG5rF7oCDSaKn2ty0x1h1X76zcOrNuYolTIsuYpFuuIjcT6tQjEk6SDNp75TR3JS0pffghJoCCA2zXioRFsRIWhEY_cVnanT2RTE1xN4CFmc2y2hi7fnUlwN-wSdKcenA6mL3cZWDBTY.b_lT2kbNnOuqOHIpbO5PM8rLx4o5RdLOecaLNlk5hKI&amp;dib_tag=se&amp;keywords=raspberry%2Bpi%2B5%2B4gb&amp;qid=1772705336&amp;sprefix=raspberry%2Bpi%2B5%2B4%2Caps%2C247&amp;sr=8-1&amp;ufe=app_do%3Aamzn1.fos.4c3f56c3-e485-4a35-9abc-6532b61c3b62&amp;th=1</t>
  </si>
  <si>
    <t>link</t>
  </si>
  <si>
    <t>RS Online</t>
  </si>
  <si>
    <t>distributor of electronics, electricity and industrial maintenance products</t>
  </si>
  <si>
    <t>https://es.rs-online.com/</t>
  </si>
  <si>
    <t>BCN 3D Technologies</t>
  </si>
  <si>
    <t>3D Printing Filament distributor for our 3D printer BCN 3D Sigma</t>
  </si>
  <si>
    <t>https://www.bcn3dtechnologies.com/ca/</t>
  </si>
  <si>
    <t>Robotshop</t>
  </si>
  <si>
    <t>Stepper motor, grippers, servo motors, arduinos, raspberry Pi, drivers for motors</t>
  </si>
  <si>
    <t>https://www.robotshop.com/</t>
  </si>
  <si>
    <t>Motedis</t>
  </si>
  <si>
    <t>Mechanical components, aluminium profiles</t>
  </si>
  <si>
    <t>https://www.motedis.es/shop/index.php</t>
  </si>
  <si>
    <t>Amazon</t>
  </si>
  <si>
    <t>Electronics and more</t>
  </si>
  <si>
    <t>https://www.amazon.es/</t>
  </si>
  <si>
    <t>ALACER MAS</t>
  </si>
  <si>
    <t>http://www.alacermas.com/index.php</t>
  </si>
  <si>
    <t>Please check also the list of recommended providers in the virtual campus.</t>
  </si>
  <si>
    <t>https://campus.uvic.cat/aules/pluginfile.php/830007/mod_resource/content/2/IP2_List_of_possible_providers.pdf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</si>
</sst>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sz val="11"/>
      <color rgb="FF000000"/>
      <name val="Cambria"/>
      <family val="1"/>
      <charset val="1"/>
    </font>
    <font>
      <b/>
      <sz val="14"/>
      <color rgb="FF000000"/>
      <name val="Cambria"/>
      <family val="1"/>
      <charset val="1"/>
    </font>
    <font>
      <b/>
      <sz val="11"/>
      <color rgb="FF000000"/>
      <name val="Cambria"/>
      <family val="1"/>
      <charset val="1"/>
    </font>
    <font>
      <u/>
      <sz val="11"/>
      <color rgb="FF0563C1"/>
      <name val="Calibri"/>
      <family val="2"/>
      <charset val="1"/>
    </font>
    <font>
      <u/>
      <sz val="11"/>
      <color rgb="FF0563C1"/>
      <name val="Cambria"/>
      <family val="1"/>
      <charset val="1"/>
    </font>
    <font>
      <sz val="11"/>
      <color rgb="FF000000"/>
      <name val="Aptos Narrow"/>
      <family val="2"/>
    </font>
    <font>
      <u/>
      <sz val="11"/>
      <color theme="10"/>
      <name val="Calibri"/>
      <family val="2"/>
      <charset val="1"/>
    </font>
    <font>
      <sz val="11"/>
      <color theme="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/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wrapText="1"/>
    </xf>
    <xf numFmtId="0" fontId="5" fillId="0" borderId="1" xfId="1" applyFont="1" applyBorder="1" applyProtection="1"/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1" xfId="1" applyFont="1" applyBorder="1"/>
    <xf numFmtId="0" fontId="4" fillId="0" borderId="1" xfId="1" applyFont="1" applyBorder="1" applyAlignment="1">
      <alignment wrapText="1"/>
    </xf>
    <xf numFmtId="0" fontId="7" fillId="0" borderId="0" xfId="1"/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4" fillId="0" borderId="2" xfId="1" applyFont="1" applyBorder="1" applyAlignment="1">
      <alignment wrapText="1"/>
    </xf>
    <xf numFmtId="0" fontId="1" fillId="0" borderId="3" xfId="0" applyFont="1" applyBorder="1"/>
    <xf numFmtId="0" fontId="8" fillId="0" borderId="0" xfId="0" applyFont="1"/>
    <xf numFmtId="0" fontId="7" fillId="0" borderId="1" xfId="1" applyBorder="1"/>
    <xf numFmtId="0" fontId="3" fillId="0" borderId="4" xfId="0" applyFont="1" applyBorder="1"/>
    <xf numFmtId="0" fontId="1" fillId="3" borderId="4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114480</xdr:colOff>
      <xdr:row>0</xdr:row>
      <xdr:rowOff>66600</xdr:rowOff>
    </xdr:from>
    <xdr:to>
      <xdr:col>0</xdr:col>
      <xdr:colOff>653760</xdr:colOff>
      <xdr:row>3</xdr:row>
      <xdr:rowOff>15480</xdr:rowOff>
    </xdr:to>
    <xdr:pic>
      <xdr:nvPicPr>
        <xdr:cNvPr id="2" name="Imagen 1" descr="Logo_UVIC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480" y="66600"/>
          <a:ext cx="539280" cy="53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114480</xdr:rowOff>
    </xdr:from>
    <xdr:to>
      <xdr:col>0</xdr:col>
      <xdr:colOff>663120</xdr:colOff>
      <xdr:row>3</xdr:row>
      <xdr:rowOff>63360</xdr:rowOff>
    </xdr:to>
    <xdr:pic>
      <xdr:nvPicPr>
        <xdr:cNvPr id="2" name="Imagen 1" descr="Logo_UVIC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114480"/>
          <a:ext cx="539280" cy="539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</xdr:colOff>
      <xdr:row>10</xdr:row>
      <xdr:rowOff>0</xdr:rowOff>
    </xdr:from>
    <xdr:to>
      <xdr:col>8</xdr:col>
      <xdr:colOff>615275</xdr:colOff>
      <xdr:row>27</xdr:row>
      <xdr:rowOff>119743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DE0DA7D-AA44-9BF2-862B-A5442DEC8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772" y="1883229"/>
          <a:ext cx="6101674" cy="326571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121920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025E861-9E70-F90A-4492-3372383815F9}"/>
            </a:ext>
          </a:extLst>
        </xdr:cNvPr>
        <xdr:cNvSpPr>
          <a:spLocks noChangeAspect="1" noChangeArrowheads="1"/>
        </xdr:cNvSpPr>
      </xdr:nvSpPr>
      <xdr:spPr bwMode="auto">
        <a:xfrm>
          <a:off x="6278880" y="38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685800</xdr:colOff>
      <xdr:row>6</xdr:row>
      <xdr:rowOff>97972</xdr:rowOff>
    </xdr:from>
    <xdr:to>
      <xdr:col>17</xdr:col>
      <xdr:colOff>91899</xdr:colOff>
      <xdr:row>27</xdr:row>
      <xdr:rowOff>141515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8D1AB5-6686-8EFB-E0A8-F3A57F14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3514" y="1240972"/>
          <a:ext cx="4892499" cy="39297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0</xdr:row>
      <xdr:rowOff>47520</xdr:rowOff>
    </xdr:from>
    <xdr:to>
      <xdr:col>0</xdr:col>
      <xdr:colOff>644040</xdr:colOff>
      <xdr:row>2</xdr:row>
      <xdr:rowOff>177480</xdr:rowOff>
    </xdr:to>
    <xdr:pic>
      <xdr:nvPicPr>
        <xdr:cNvPr id="4" name="Imagen 1" descr="Logo_UVIC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47520"/>
          <a:ext cx="539280" cy="53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161930</xdr:rowOff>
    </xdr:from>
    <xdr:to>
      <xdr:col>15</xdr:col>
      <xdr:colOff>454185</xdr:colOff>
      <xdr:row>24</xdr:row>
      <xdr:rowOff>76652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7686BF7F-6D1F-5297-26AA-77B9B95E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0160" y="2798450"/>
          <a:ext cx="2740185" cy="1562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es/dp/B0CJJCG4B2/ref=sspa_dk_detail_3?psc=1&amp;pd_rd_i=B0CJJCG4B2&amp;pd_rd_w=B46YE&amp;content-id=amzn1.sym.0c640cbd-b6e0-461d-8cfc-a8934b5122df&amp;pf_rd_p=0c640cbd-b6e0-461d-8cfc-a8934b5122df&amp;pf_rd_r=M1F5KSCC69AW78BZWX7E&amp;pd_rd_wg=Gb1er&amp;pd_rd_r=de0751c4-9497-4b47-bd2f-adb5a478cd4e&amp;aref=WCCGjsiMEK&amp;sp_csd=d2lkZ2V0TmFtZT1zcF9kZXRhaWw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www.amazon.es/Convertidor-ajustable-reductor-regulador-voltaje/dp/B0D9HSRQSB/ref=sr_1_3?__mk_es_ES=%C3%85M%C3%85%C5%BD%C3%95%C3%91&amp;crid=2CQH0VJNUNTZ61" TargetMode="External"/><Relationship Id="rId1" Type="http://schemas.openxmlformats.org/officeDocument/2006/relationships/hyperlink" Target="https://www.alacermas.com/es/producto/tubos-cuadrados-extruidos-de-aluminio" TargetMode="External"/><Relationship Id="rId6" Type="http://schemas.openxmlformats.org/officeDocument/2006/relationships/hyperlink" Target="https://www.tornillos-express.es/carrito?action=show&amp;_gl=1*14pj92r*_up*MQ..*_gs*MQ..&amp;gclid=Cj0KCQiA8KTNBhD_ARIsAOvp6DJVuawOqniN5xiLs76IxakxXjzONClQnmKlblZWbY7fJQ6N4a5n9YwaAo0_EALw_wcB&amp;gbraid=0AAAAApCivz7CsMDQxMVZ67OvK1puAO-pL" TargetMode="External"/><Relationship Id="rId5" Type="http://schemas.openxmlformats.org/officeDocument/2006/relationships/hyperlink" Target="https://www.amazon.es/Raspberry-Pi-SC1111-5-4Gb/dp/B0CK3L9WD3/ref=sr_1_1?__mk_es_ES=&#197;M&#197;&#381;&#213;&#209;&amp;crid=3M6YJNVVUGNAU&amp;dib=eyJ2IjoiMSJ9.oE_1jHVJG4PjSPF4ldhDSMTNUE8fRX3AzBjb2_pK6NoGkCAQGEu5tOKK96aYmg9ECEsZwkS4ALHif3FffsyjuILtTi6Y9K-eQnSvDsnBV0030c6KLTE0FkKFpmj6yfsiD0fyk-7luRByXUAGaHPD_DN7NYacGv6dG5rF7oCDSaKn2ty0x1h1X76zcOrNuYolTIsuYpFuuIjcT6tQjEk6SDNp75TR3JS0pffghJoCCA2zXioRFsRIWhEY_cVnanT2RTE1xN4CFmc2y2hi7fnUlwN-wSdKcenA6mL3cZWDBTY.b_lT2kbNnOuqOHIpbO5PM8rLx4o5RdLOecaLNlk5hKI&amp;dib_tag=se&amp;keywords=raspberry%2Bpi%2B5%2B4gb&amp;qid=1772705336&amp;sprefix=raspberry%2Bpi%2B5%2B4%2Caps%2C247&amp;sr=8-1&amp;ufe=app_do%3Aamzn1.fos.4c3f56c3-e485-4a35-9abc-6532b61c3b62&amp;th=1" TargetMode="External"/><Relationship Id="rId4" Type="http://schemas.openxmlformats.org/officeDocument/2006/relationships/hyperlink" Target="https://www.arducam.com/1-58mp-imx296-color-global-shutter-camera-module-with-m12-lens-for-raspberry-pi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tedis.es/shop/index.php" TargetMode="External"/><Relationship Id="rId2" Type="http://schemas.openxmlformats.org/officeDocument/2006/relationships/hyperlink" Target="https://www.amazon.es/" TargetMode="External"/><Relationship Id="rId1" Type="http://schemas.openxmlformats.org/officeDocument/2006/relationships/hyperlink" Target="http://www.alacermas.com/index.php" TargetMode="External"/><Relationship Id="rId6" Type="http://schemas.openxmlformats.org/officeDocument/2006/relationships/hyperlink" Target="https://es.rs-online.com/" TargetMode="External"/><Relationship Id="rId5" Type="http://schemas.openxmlformats.org/officeDocument/2006/relationships/hyperlink" Target="https://www.bcn3dtechnologies.com/ca/" TargetMode="External"/><Relationship Id="rId4" Type="http://schemas.openxmlformats.org/officeDocument/2006/relationships/hyperlink" Target="https://www.robotsho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39"/>
  <sheetViews>
    <sheetView topLeftCell="A10" zoomScaleNormal="100" workbookViewId="0">
      <selection activeCell="C38" sqref="C38"/>
    </sheetView>
  </sheetViews>
  <sheetFormatPr defaultColWidth="11.44140625" defaultRowHeight="14.4" x14ac:dyDescent="0.3"/>
  <cols>
    <col min="1" max="1" width="11.44140625" style="2"/>
    <col min="2" max="2" width="37.88671875" style="2" customWidth="1"/>
    <col min="3" max="3" width="52.5546875" style="3" customWidth="1"/>
    <col min="4" max="1024" width="11.44140625" style="2"/>
  </cols>
  <sheetData>
    <row r="2" spans="2:3" ht="17.399999999999999" x14ac:dyDescent="0.3">
      <c r="B2" s="4" t="s">
        <v>0</v>
      </c>
    </row>
    <row r="4" spans="2:3" x14ac:dyDescent="0.3">
      <c r="B4" s="5" t="s">
        <v>1</v>
      </c>
      <c r="C4" s="6" t="s">
        <v>2</v>
      </c>
    </row>
    <row r="6" spans="2:3" x14ac:dyDescent="0.3">
      <c r="B6" s="5" t="s">
        <v>3</v>
      </c>
      <c r="C6" s="7" t="s">
        <v>4</v>
      </c>
    </row>
    <row r="8" spans="2:3" x14ac:dyDescent="0.3">
      <c r="B8" s="5" t="s">
        <v>5</v>
      </c>
      <c r="C8" s="7" t="s">
        <v>6</v>
      </c>
    </row>
    <row r="10" spans="2:3" x14ac:dyDescent="0.3">
      <c r="B10" s="1" t="s">
        <v>7</v>
      </c>
      <c r="C10" s="1"/>
    </row>
    <row r="11" spans="2:3" x14ac:dyDescent="0.3">
      <c r="B11" s="5" t="s">
        <v>8</v>
      </c>
      <c r="C11" s="8" t="s">
        <v>9</v>
      </c>
    </row>
    <row r="12" spans="2:3" x14ac:dyDescent="0.3">
      <c r="B12" s="9">
        <v>1</v>
      </c>
      <c r="C12" s="7" t="s">
        <v>10</v>
      </c>
    </row>
    <row r="13" spans="2:3" x14ac:dyDescent="0.3">
      <c r="B13" s="9">
        <f>B12+1</f>
        <v>2</v>
      </c>
      <c r="C13" s="7" t="s">
        <v>11</v>
      </c>
    </row>
    <row r="14" spans="2:3" x14ac:dyDescent="0.3">
      <c r="B14" s="30">
        <f>B13+1</f>
        <v>3</v>
      </c>
      <c r="C14" s="31" t="s">
        <v>12</v>
      </c>
    </row>
    <row r="18" spans="2:3" x14ac:dyDescent="0.3">
      <c r="B18" s="1" t="s">
        <v>13</v>
      </c>
      <c r="C18" s="1"/>
    </row>
    <row r="19" spans="2:3" x14ac:dyDescent="0.3">
      <c r="B19" s="9" t="s">
        <v>14</v>
      </c>
      <c r="C19" s="7" t="s">
        <v>15</v>
      </c>
    </row>
    <row r="20" spans="2:3" x14ac:dyDescent="0.3">
      <c r="B20" s="9" t="s">
        <v>16</v>
      </c>
      <c r="C20" s="7" t="s">
        <v>17</v>
      </c>
    </row>
    <row r="21" spans="2:3" x14ac:dyDescent="0.3">
      <c r="B21" s="9" t="s">
        <v>18</v>
      </c>
      <c r="C21" s="7" t="s">
        <v>19</v>
      </c>
    </row>
    <row r="22" spans="2:3" x14ac:dyDescent="0.3">
      <c r="B22" s="9" t="s">
        <v>20</v>
      </c>
      <c r="C22" s="7" t="s">
        <v>21</v>
      </c>
    </row>
    <row r="23" spans="2:3" x14ac:dyDescent="0.3">
      <c r="B23" s="9" t="s">
        <v>22</v>
      </c>
      <c r="C23" s="7" t="s">
        <v>23</v>
      </c>
    </row>
    <row r="24" spans="2:3" x14ac:dyDescent="0.3">
      <c r="B24" s="9" t="s">
        <v>24</v>
      </c>
      <c r="C24" s="32">
        <v>0</v>
      </c>
    </row>
    <row r="25" spans="2:3" x14ac:dyDescent="0.3">
      <c r="B25" s="9" t="s">
        <v>25</v>
      </c>
      <c r="C25" s="7" t="s">
        <v>26</v>
      </c>
    </row>
    <row r="26" spans="2:3" x14ac:dyDescent="0.3">
      <c r="B26" s="9" t="s">
        <v>27</v>
      </c>
      <c r="C26" s="7" t="s">
        <v>28</v>
      </c>
    </row>
    <row r="27" spans="2:3" x14ac:dyDescent="0.3">
      <c r="B27" s="9"/>
      <c r="C27" s="6"/>
    </row>
    <row r="29" spans="2:3" x14ac:dyDescent="0.3">
      <c r="B29" s="1" t="s">
        <v>29</v>
      </c>
      <c r="C29" s="1"/>
    </row>
    <row r="30" spans="2:3" x14ac:dyDescent="0.3">
      <c r="B30" s="9" t="s">
        <v>30</v>
      </c>
      <c r="C30" s="7" t="str">
        <f>'Shopping list'!C17</f>
        <v>Raspberry Pi 5 4GB</v>
      </c>
    </row>
    <row r="31" spans="2:3" x14ac:dyDescent="0.3">
      <c r="B31" s="9" t="s">
        <v>31</v>
      </c>
      <c r="C31" s="7" t="s">
        <v>32</v>
      </c>
    </row>
    <row r="32" spans="2:3" x14ac:dyDescent="0.3">
      <c r="B32" s="9" t="s">
        <v>33</v>
      </c>
      <c r="C32" s="7" t="str">
        <f>'Shopping list'!C16</f>
        <v>Arducam IMX296 Global Shutter Camera</v>
      </c>
    </row>
    <row r="33" spans="2:3" x14ac:dyDescent="0.3">
      <c r="B33" s="9" t="s">
        <v>34</v>
      </c>
      <c r="C33" s="7" t="s">
        <v>35</v>
      </c>
    </row>
    <row r="34" spans="2:3" x14ac:dyDescent="0.3">
      <c r="B34" s="9" t="s">
        <v>36</v>
      </c>
      <c r="C34" s="7" t="s">
        <v>37</v>
      </c>
    </row>
    <row r="35" spans="2:3" x14ac:dyDescent="0.3">
      <c r="B35" s="9" t="s">
        <v>38</v>
      </c>
      <c r="C35" s="7" t="s">
        <v>39</v>
      </c>
    </row>
    <row r="36" spans="2:3" x14ac:dyDescent="0.3">
      <c r="B36" s="9" t="s">
        <v>40</v>
      </c>
      <c r="C36" s="7" t="s">
        <v>41</v>
      </c>
    </row>
    <row r="37" spans="2:3" x14ac:dyDescent="0.3">
      <c r="B37" s="30" t="s">
        <v>42</v>
      </c>
      <c r="C37" s="31" t="s">
        <v>43</v>
      </c>
    </row>
    <row r="38" spans="2:3" x14ac:dyDescent="0.3">
      <c r="B38" s="33"/>
    </row>
    <row r="39" spans="2:3" x14ac:dyDescent="0.3">
      <c r="B39" s="33"/>
    </row>
  </sheetData>
  <mergeCells count="3">
    <mergeCell ref="B10:C10"/>
    <mergeCell ref="B18:C18"/>
    <mergeCell ref="B29:C2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J22"/>
  <sheetViews>
    <sheetView tabSelected="1" zoomScale="70" zoomScaleNormal="70" workbookViewId="0">
      <selection activeCell="I21" sqref="I21"/>
    </sheetView>
  </sheetViews>
  <sheetFormatPr defaultColWidth="11.44140625" defaultRowHeight="14.4" x14ac:dyDescent="0.3"/>
  <cols>
    <col min="1" max="1024" width="11.44140625" style="2"/>
  </cols>
  <sheetData>
    <row r="2" spans="2:2" ht="17.399999999999999" x14ac:dyDescent="0.3">
      <c r="B2" s="4" t="s">
        <v>44</v>
      </c>
    </row>
    <row r="4" spans="2:2" x14ac:dyDescent="0.3">
      <c r="B4" s="2" t="s">
        <v>45</v>
      </c>
    </row>
    <row r="22" spans="9:9" x14ac:dyDescent="0.3">
      <c r="I22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K28"/>
  <sheetViews>
    <sheetView topLeftCell="A3" zoomScaleNormal="100" workbookViewId="0">
      <selection activeCell="C6" sqref="C6"/>
    </sheetView>
  </sheetViews>
  <sheetFormatPr defaultColWidth="11.44140625" defaultRowHeight="14.4" x14ac:dyDescent="0.3"/>
  <cols>
    <col min="1" max="1" width="11.44140625" style="2"/>
    <col min="2" max="2" width="14" style="2" customWidth="1"/>
    <col min="3" max="3" width="50" style="3" customWidth="1"/>
    <col min="4" max="4" width="11.44140625" style="2"/>
    <col min="5" max="5" width="49.109375" style="2" bestFit="1" customWidth="1"/>
    <col min="6" max="6" width="17.109375" style="2" customWidth="1"/>
    <col min="7" max="7" width="11.44140625" style="2"/>
    <col min="8" max="8" width="13" style="2" customWidth="1"/>
    <col min="9" max="9" width="29" style="2" customWidth="1"/>
    <col min="10" max="1025" width="11.44140625" style="2"/>
  </cols>
  <sheetData>
    <row r="2" spans="2:13" s="4" customFormat="1" ht="17.399999999999999" x14ac:dyDescent="0.3">
      <c r="B2" s="4" t="s">
        <v>46</v>
      </c>
      <c r="C2" s="10"/>
    </row>
    <row r="3" spans="2:13" s="4" customFormat="1" ht="17.399999999999999" x14ac:dyDescent="0.3">
      <c r="C3" s="10"/>
    </row>
    <row r="5" spans="2:13" x14ac:dyDescent="0.3">
      <c r="B5" s="11" t="s">
        <v>47</v>
      </c>
      <c r="C5" s="7" t="s">
        <v>48</v>
      </c>
      <c r="F5" s="5" t="s">
        <v>49</v>
      </c>
      <c r="G5" s="5">
        <f>SUM(G9:G28)</f>
        <v>271.16999999999996</v>
      </c>
      <c r="I5" s="2">
        <f>G6-G5</f>
        <v>28.830000000000041</v>
      </c>
    </row>
    <row r="6" spans="2:13" x14ac:dyDescent="0.3">
      <c r="F6" s="5" t="s">
        <v>50</v>
      </c>
      <c r="G6" s="12">
        <v>300</v>
      </c>
    </row>
    <row r="8" spans="2:13" x14ac:dyDescent="0.3">
      <c r="B8" s="5" t="s">
        <v>8</v>
      </c>
      <c r="C8" s="13" t="s">
        <v>51</v>
      </c>
      <c r="D8" s="5" t="s">
        <v>52</v>
      </c>
      <c r="E8" s="5"/>
      <c r="F8" s="5" t="s">
        <v>53</v>
      </c>
      <c r="G8" s="5" t="s">
        <v>54</v>
      </c>
      <c r="H8" s="5" t="s">
        <v>55</v>
      </c>
      <c r="I8" s="5" t="s">
        <v>56</v>
      </c>
    </row>
    <row r="9" spans="2:13" x14ac:dyDescent="0.3">
      <c r="B9" s="9">
        <v>1</v>
      </c>
      <c r="C9" s="15" t="s">
        <v>57</v>
      </c>
      <c r="D9" s="12">
        <v>6</v>
      </c>
      <c r="E9" s="12" t="s">
        <v>58</v>
      </c>
      <c r="F9" s="12">
        <v>6.56</v>
      </c>
      <c r="G9" s="12">
        <f>D9*F9</f>
        <v>39.36</v>
      </c>
      <c r="H9" s="12"/>
      <c r="I9" s="21" t="s">
        <v>59</v>
      </c>
      <c r="J9" s="28" t="s">
        <v>60</v>
      </c>
    </row>
    <row r="10" spans="2:13" x14ac:dyDescent="0.3">
      <c r="B10" s="9">
        <f t="shared" ref="B10:B28" si="0">B9+1</f>
        <v>2</v>
      </c>
      <c r="C10" s="6" t="s">
        <v>61</v>
      </c>
      <c r="D10" s="12">
        <v>1</v>
      </c>
      <c r="E10" s="12"/>
      <c r="F10" s="24">
        <v>8.9</v>
      </c>
      <c r="G10" s="25">
        <f>F10*D10</f>
        <v>8.9</v>
      </c>
      <c r="H10" s="12"/>
      <c r="I10" s="21" t="s">
        <v>62</v>
      </c>
      <c r="J10" s="28" t="s">
        <v>60</v>
      </c>
    </row>
    <row r="11" spans="2:13" ht="14.4" customHeight="1" x14ac:dyDescent="0.3">
      <c r="B11" s="9">
        <f t="shared" si="0"/>
        <v>3</v>
      </c>
      <c r="C11" s="17" t="s">
        <v>63</v>
      </c>
      <c r="D11" s="18">
        <v>1</v>
      </c>
      <c r="E11" s="16"/>
      <c r="F11" s="12">
        <v>11.99</v>
      </c>
      <c r="G11" s="12">
        <f t="shared" ref="G11:G19" si="1">F11*D11</f>
        <v>11.99</v>
      </c>
      <c r="H11" s="12"/>
      <c r="I11" s="22" t="s">
        <v>64</v>
      </c>
      <c r="J11" s="28"/>
      <c r="K11" s="23"/>
      <c r="M11" s="23"/>
    </row>
    <row r="12" spans="2:13" ht="14.4" customHeight="1" x14ac:dyDescent="0.3">
      <c r="B12" s="9">
        <f t="shared" si="0"/>
        <v>4</v>
      </c>
      <c r="C12" s="17" t="s">
        <v>65</v>
      </c>
      <c r="D12" s="18">
        <v>20</v>
      </c>
      <c r="E12" s="16" t="s">
        <v>66</v>
      </c>
      <c r="F12" s="12">
        <v>15.87</v>
      </c>
      <c r="G12" s="12">
        <f>F12</f>
        <v>15.87</v>
      </c>
      <c r="H12" s="12"/>
      <c r="I12" s="21" t="s">
        <v>67</v>
      </c>
      <c r="J12" s="28" t="s">
        <v>68</v>
      </c>
    </row>
    <row r="13" spans="2:13" ht="259.2" hidden="1" x14ac:dyDescent="0.3">
      <c r="B13" s="9">
        <f t="shared" si="0"/>
        <v>5</v>
      </c>
      <c r="C13" s="17" t="s">
        <v>69</v>
      </c>
      <c r="D13" s="20">
        <v>20</v>
      </c>
      <c r="E13" s="19"/>
      <c r="F13" s="12"/>
      <c r="G13" s="12">
        <f t="shared" si="1"/>
        <v>0</v>
      </c>
      <c r="H13" s="12"/>
      <c r="I13" s="22" t="s">
        <v>70</v>
      </c>
    </row>
    <row r="14" spans="2:13" ht="14.4" customHeight="1" x14ac:dyDescent="0.3">
      <c r="B14" s="9">
        <f t="shared" si="0"/>
        <v>6</v>
      </c>
      <c r="C14" s="17" t="s">
        <v>69</v>
      </c>
      <c r="D14" s="18">
        <v>20</v>
      </c>
      <c r="E14" s="16" t="s">
        <v>71</v>
      </c>
      <c r="F14" s="12">
        <v>1.33</v>
      </c>
      <c r="G14" s="12">
        <f>F14</f>
        <v>1.33</v>
      </c>
      <c r="H14" s="12"/>
      <c r="I14" s="26" t="s">
        <v>70</v>
      </c>
      <c r="L14" s="23"/>
    </row>
    <row r="15" spans="2:13" x14ac:dyDescent="0.3">
      <c r="B15" s="9">
        <f t="shared" si="0"/>
        <v>7</v>
      </c>
      <c r="C15" s="17" t="s">
        <v>72</v>
      </c>
      <c r="D15" s="18">
        <v>1</v>
      </c>
      <c r="E15" s="19"/>
      <c r="F15" s="12">
        <v>25.66</v>
      </c>
      <c r="G15" s="12">
        <f t="shared" si="1"/>
        <v>25.66</v>
      </c>
      <c r="H15" s="27"/>
      <c r="I15" s="21" t="s">
        <v>73</v>
      </c>
      <c r="J15" s="28" t="s">
        <v>68</v>
      </c>
    </row>
    <row r="16" spans="2:13" x14ac:dyDescent="0.3">
      <c r="B16" s="9">
        <f t="shared" si="0"/>
        <v>8</v>
      </c>
      <c r="C16" s="17" t="s">
        <v>74</v>
      </c>
      <c r="D16" s="18">
        <v>1</v>
      </c>
      <c r="E16" s="19"/>
      <c r="F16" s="12">
        <v>70.989999999999995</v>
      </c>
      <c r="G16" s="12">
        <f t="shared" si="1"/>
        <v>70.989999999999995</v>
      </c>
      <c r="H16" s="27"/>
      <c r="I16" s="29" t="s">
        <v>75</v>
      </c>
      <c r="J16" s="28" t="s">
        <v>76</v>
      </c>
      <c r="M16" s="2" t="s">
        <v>77</v>
      </c>
    </row>
    <row r="17" spans="2:10" x14ac:dyDescent="0.3">
      <c r="B17" s="9">
        <f t="shared" si="0"/>
        <v>9</v>
      </c>
      <c r="C17" s="17" t="s">
        <v>78</v>
      </c>
      <c r="D17" s="12">
        <v>1</v>
      </c>
      <c r="E17" s="12"/>
      <c r="F17" s="12">
        <v>97.07</v>
      </c>
      <c r="G17" s="12">
        <f>F17*D17</f>
        <v>97.07</v>
      </c>
      <c r="H17" s="12"/>
      <c r="I17" s="23" t="s">
        <v>79</v>
      </c>
      <c r="J17" s="28" t="s">
        <v>60</v>
      </c>
    </row>
    <row r="18" spans="2:10" x14ac:dyDescent="0.3">
      <c r="B18" s="9">
        <f t="shared" si="0"/>
        <v>10</v>
      </c>
      <c r="C18" s="6"/>
      <c r="D18" s="12"/>
      <c r="E18" s="12"/>
      <c r="F18" s="12"/>
      <c r="G18" s="12">
        <f t="shared" si="1"/>
        <v>0</v>
      </c>
      <c r="H18" s="12"/>
      <c r="I18" s="12"/>
    </row>
    <row r="19" spans="2:10" x14ac:dyDescent="0.3">
      <c r="B19" s="9">
        <f t="shared" si="0"/>
        <v>11</v>
      </c>
      <c r="C19" s="6"/>
      <c r="D19" s="12"/>
      <c r="E19" s="12"/>
      <c r="F19" s="12"/>
      <c r="G19" s="12">
        <f t="shared" si="1"/>
        <v>0</v>
      </c>
      <c r="H19" s="12"/>
      <c r="I19" s="12"/>
    </row>
    <row r="20" spans="2:10" x14ac:dyDescent="0.3">
      <c r="B20" s="9">
        <f t="shared" si="0"/>
        <v>12</v>
      </c>
      <c r="C20" s="6"/>
      <c r="D20" s="12"/>
      <c r="E20" s="12"/>
      <c r="F20" s="12"/>
      <c r="G20" s="12">
        <v>0</v>
      </c>
      <c r="H20" s="12"/>
      <c r="I20" s="12"/>
    </row>
    <row r="21" spans="2:10" x14ac:dyDescent="0.3">
      <c r="B21" s="9">
        <f t="shared" si="0"/>
        <v>13</v>
      </c>
      <c r="C21" s="6"/>
      <c r="D21" s="12"/>
      <c r="E21" s="12"/>
      <c r="F21" s="12"/>
      <c r="G21" s="12">
        <f t="shared" ref="G21:G28" si="2">F21*D21</f>
        <v>0</v>
      </c>
      <c r="H21" s="12"/>
      <c r="I21" s="12"/>
    </row>
    <row r="22" spans="2:10" x14ac:dyDescent="0.3">
      <c r="B22" s="9">
        <f t="shared" si="0"/>
        <v>14</v>
      </c>
      <c r="C22" s="6"/>
      <c r="D22" s="12"/>
      <c r="E22" s="12"/>
      <c r="F22" s="12"/>
      <c r="G22" s="12">
        <f t="shared" si="2"/>
        <v>0</v>
      </c>
      <c r="H22" s="12"/>
      <c r="I22" s="12"/>
    </row>
    <row r="23" spans="2:10" x14ac:dyDescent="0.3">
      <c r="B23" s="9">
        <f t="shared" si="0"/>
        <v>15</v>
      </c>
      <c r="C23" s="6"/>
      <c r="D23" s="12"/>
      <c r="E23" s="12"/>
      <c r="F23" s="12"/>
      <c r="G23" s="12">
        <f t="shared" si="2"/>
        <v>0</v>
      </c>
      <c r="H23" s="12"/>
      <c r="I23" s="12"/>
    </row>
    <row r="24" spans="2:10" x14ac:dyDescent="0.3">
      <c r="B24" s="9">
        <f t="shared" si="0"/>
        <v>16</v>
      </c>
      <c r="C24" s="6"/>
      <c r="D24" s="12"/>
      <c r="E24" s="12"/>
      <c r="F24" s="12"/>
      <c r="G24" s="12">
        <f t="shared" si="2"/>
        <v>0</v>
      </c>
      <c r="H24" s="12"/>
      <c r="I24" s="12"/>
    </row>
    <row r="25" spans="2:10" x14ac:dyDescent="0.3">
      <c r="B25" s="9">
        <f t="shared" si="0"/>
        <v>17</v>
      </c>
      <c r="C25" s="6"/>
      <c r="D25" s="12"/>
      <c r="E25" s="12"/>
      <c r="F25" s="12"/>
      <c r="G25" s="12">
        <f t="shared" si="2"/>
        <v>0</v>
      </c>
      <c r="H25" s="12"/>
      <c r="I25" s="12"/>
    </row>
    <row r="26" spans="2:10" x14ac:dyDescent="0.3">
      <c r="B26" s="9">
        <f t="shared" si="0"/>
        <v>18</v>
      </c>
      <c r="C26" s="6"/>
      <c r="D26" s="12"/>
      <c r="E26" s="12"/>
      <c r="F26" s="12"/>
      <c r="G26" s="12">
        <f t="shared" si="2"/>
        <v>0</v>
      </c>
      <c r="H26" s="12"/>
      <c r="I26" s="12"/>
    </row>
    <row r="27" spans="2:10" x14ac:dyDescent="0.3">
      <c r="B27" s="9">
        <f t="shared" si="0"/>
        <v>19</v>
      </c>
      <c r="C27" s="6"/>
      <c r="D27" s="12"/>
      <c r="E27" s="12"/>
      <c r="F27" s="12"/>
      <c r="G27" s="12">
        <f t="shared" si="2"/>
        <v>0</v>
      </c>
      <c r="H27" s="12"/>
      <c r="I27" s="12"/>
    </row>
    <row r="28" spans="2:10" x14ac:dyDescent="0.3">
      <c r="B28" s="9">
        <f t="shared" si="0"/>
        <v>20</v>
      </c>
      <c r="C28" s="6"/>
      <c r="D28" s="12"/>
      <c r="E28" s="12"/>
      <c r="F28" s="12"/>
      <c r="G28" s="12">
        <f t="shared" si="2"/>
        <v>0</v>
      </c>
      <c r="H28" s="12"/>
      <c r="I28" s="12"/>
    </row>
  </sheetData>
  <hyperlinks>
    <hyperlink ref="I9" r:id="rId1" xr:uid="{D518DD2A-E29E-43E2-A1C8-047E881CDA2B}"/>
    <hyperlink ref="I11" r:id="rId2" xr:uid="{FF6C4290-69E1-4FE4-AB79-A70114B4DD9D}"/>
    <hyperlink ref="I15" r:id="rId3" display="https://www.amazon.es/dp/B0CJJCG4B2/ref=sspa_dk_detail_3?psc=1&amp;pd_rd_i=B0CJJCG4B2&amp;pd_rd_w=B46YE&amp;content-id=amzn1.sym.0c640cbd-b6e0-461d-8cfc-a8934b5122df&amp;pf_rd_p=0c640cbd-b6e0-461d-8cfc-a8934b5122df&amp;pf_rd_r=M1F5KSCC69AW78BZWX7E&amp;pd_rd_wg=Gb1er&amp;pd_rd_r=de0751c4-9497-4b47-bd2f-adb5a478cd4e&amp;aref=WCCGjsiMEK&amp;sp_csd=d2lkZ2V0TmFtZT1zcF9kZXRhaWw" xr:uid="{955BA229-F4DC-4696-A537-8D605ED96C4C}"/>
    <hyperlink ref="I16" r:id="rId4" xr:uid="{BAED1396-45CA-4A5D-BD20-B91F06425FB6}"/>
    <hyperlink ref="I17" r:id="rId5" display="https://www.amazon.es/Raspberry-Pi-SC1111-5-4Gb/dp/B0CK3L9WD3/ref=sr_1_1?__mk_es_ES=ÅMÅŽÕÑ&amp;crid=3M6YJNVVUGNAU&amp;dib=eyJ2IjoiMSJ9.oE_1jHVJG4PjSPF4ldhDSMTNUE8fRX3AzBjb2_pK6NoGkCAQGEu5tOKK96aYmg9ECEsZwkS4ALHif3FffsyjuILtTi6Y9K-eQnSvDsnBV0030c6KLTE0FkKFpmj6yfsiD0fyk-7luRByXUAGaHPD_DN7NYacGv6dG5rF7oCDSaKn2ty0x1h1X76zcOrNuYolTIsuYpFuuIjcT6tQjEk6SDNp75TR3JS0pffghJoCCA2zXioRFsRIWhEY_cVnanT2RTE1xN4CFmc2y2hi7fnUlwN-wSdKcenA6mL3cZWDBTY.b_lT2kbNnOuqOHIpbO5PM8rLx4o5RdLOecaLNlk5hKI&amp;dib_tag=se&amp;keywords=raspberry%2Bpi%2B5%2B4gb&amp;qid=1772705336&amp;sprefix=raspberry%2Bpi%2B5%2B4%2Caps%2C247&amp;sr=8-1&amp;ufe=app_do%3Aamzn1.fos.4c3f56c3-e485-4a35-9abc-6532b61c3b62&amp;th=1" xr:uid="{001C6A7E-0F9B-4484-9771-FE344F7E89E5}"/>
    <hyperlink ref="I12" r:id="rId6" xr:uid="{64794B93-2F7C-4E46-A419-767FF46B5435}"/>
  </hyperlinks>
  <pageMargins left="0.7" right="0.7" top="0.75" bottom="0.75" header="0.511811023622047" footer="0.511811023622047"/>
  <pageSetup paperSize="9" orientation="portrait" horizontalDpi="300" verticalDpi="30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MJ16"/>
  <sheetViews>
    <sheetView zoomScaleNormal="100" workbookViewId="0">
      <selection activeCell="C18" sqref="C18"/>
    </sheetView>
  </sheetViews>
  <sheetFormatPr defaultColWidth="11.44140625" defaultRowHeight="14.4" x14ac:dyDescent="0.3"/>
  <cols>
    <col min="1" max="2" width="11.44140625" style="2"/>
    <col min="3" max="3" width="19.6640625" style="2" customWidth="1"/>
    <col min="4" max="4" width="77.5546875" style="2" customWidth="1"/>
    <col min="5" max="1024" width="11.44140625" style="2"/>
  </cols>
  <sheetData>
    <row r="4" spans="3:5" x14ac:dyDescent="0.3">
      <c r="C4" s="11" t="s">
        <v>55</v>
      </c>
      <c r="D4" s="11" t="s">
        <v>9</v>
      </c>
      <c r="E4" s="11" t="s">
        <v>80</v>
      </c>
    </row>
    <row r="5" spans="3:5" x14ac:dyDescent="0.3">
      <c r="C5" s="12" t="s">
        <v>81</v>
      </c>
      <c r="D5" s="12" t="s">
        <v>82</v>
      </c>
      <c r="E5" s="14" t="s">
        <v>83</v>
      </c>
    </row>
    <row r="6" spans="3:5" x14ac:dyDescent="0.3">
      <c r="C6" s="12" t="s">
        <v>84</v>
      </c>
      <c r="D6" s="12" t="s">
        <v>85</v>
      </c>
      <c r="E6" s="14" t="s">
        <v>86</v>
      </c>
    </row>
    <row r="7" spans="3:5" x14ac:dyDescent="0.3">
      <c r="C7" s="12" t="s">
        <v>87</v>
      </c>
      <c r="D7" s="12" t="s">
        <v>88</v>
      </c>
      <c r="E7" s="14" t="s">
        <v>89</v>
      </c>
    </row>
    <row r="8" spans="3:5" x14ac:dyDescent="0.3">
      <c r="C8" s="12" t="s">
        <v>90</v>
      </c>
      <c r="D8" s="12" t="s">
        <v>91</v>
      </c>
      <c r="E8" s="14" t="s">
        <v>92</v>
      </c>
    </row>
    <row r="9" spans="3:5" x14ac:dyDescent="0.3">
      <c r="C9" s="12" t="s">
        <v>93</v>
      </c>
      <c r="D9" s="12" t="s">
        <v>94</v>
      </c>
      <c r="E9" s="14" t="s">
        <v>95</v>
      </c>
    </row>
    <row r="10" spans="3:5" x14ac:dyDescent="0.3">
      <c r="C10" s="12" t="s">
        <v>96</v>
      </c>
      <c r="D10" s="12" t="s">
        <v>91</v>
      </c>
      <c r="E10" s="14" t="s">
        <v>97</v>
      </c>
    </row>
    <row r="11" spans="3:5" x14ac:dyDescent="0.3">
      <c r="C11" s="12"/>
      <c r="D11" s="12"/>
      <c r="E11" s="12"/>
    </row>
    <row r="12" spans="3:5" x14ac:dyDescent="0.3">
      <c r="C12" s="12"/>
      <c r="D12" s="12"/>
      <c r="E12" s="12"/>
    </row>
    <row r="13" spans="3:5" x14ac:dyDescent="0.3">
      <c r="C13" s="12"/>
      <c r="D13" s="12"/>
      <c r="E13" s="12"/>
    </row>
    <row r="15" spans="3:5" x14ac:dyDescent="0.3">
      <c r="C15" s="2" t="s">
        <v>98</v>
      </c>
    </row>
    <row r="16" spans="3:5" x14ac:dyDescent="0.3">
      <c r="C16" s="2" t="s">
        <v>99</v>
      </c>
    </row>
  </sheetData>
  <hyperlinks>
    <hyperlink ref="E10" r:id="rId1" xr:uid="{00000000-0004-0000-0300-000005000000}"/>
    <hyperlink ref="E9" r:id="rId2" xr:uid="{00000000-0004-0000-0300-000004000000}"/>
    <hyperlink ref="E8" r:id="rId3" xr:uid="{00000000-0004-0000-0300-000003000000}"/>
    <hyperlink ref="E7" r:id="rId4" xr:uid="{00000000-0004-0000-0300-000002000000}"/>
    <hyperlink ref="E6" r:id="rId5" xr:uid="{00000000-0004-0000-0300-000001000000}"/>
    <hyperlink ref="E5" r:id="rId6" xr:uid="{00000000-0004-0000-03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Specifications</vt:lpstr>
      <vt:lpstr>Conceptual_Design</vt:lpstr>
      <vt:lpstr>Shopping list</vt:lpstr>
      <vt:lpstr>Recommended suppliers</vt:lpstr>
    </vt:vector>
  </TitlesOfParts>
  <Manager/>
  <Company>FUB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 Català Calderón</dc:creator>
  <cp:keywords/>
  <dc:description/>
  <cp:lastModifiedBy>Mireia Sabate</cp:lastModifiedBy>
  <cp:revision>1</cp:revision>
  <dcterms:created xsi:type="dcterms:W3CDTF">2018-02-28T07:28:28Z</dcterms:created>
  <dcterms:modified xsi:type="dcterms:W3CDTF">2026-03-05T13:42:22Z</dcterms:modified>
  <cp:category/>
  <cp:contentStatus/>
</cp:coreProperties>
</file>